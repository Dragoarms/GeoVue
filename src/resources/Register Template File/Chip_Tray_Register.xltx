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Excel Automation Local Outputs\Chip Tray Photo Processor\Scripts\src\resources\Register Template File\"/>
    </mc:Choice>
  </mc:AlternateContent>
  <xr:revisionPtr revIDLastSave="0" documentId="8_{C1DB04B3-B42A-44E0-AE19-568F9597CD64}" xr6:coauthVersionLast="47" xr6:coauthVersionMax="47" xr10:uidLastSave="{00000000-0000-0000-0000-000000000000}"/>
  <bookViews>
    <workbookView xWindow="-120" yWindow="-120" windowWidth="29040" windowHeight="17520" firstSheet="1" activeTab="4" xr2:uid="{00000000-000D-0000-FFFF-FFFF00000000}"/>
  </bookViews>
  <sheets>
    <sheet name="compartment_reviews" sheetId="7" r:id="rId1"/>
    <sheet name="Instructions" sheetId="1" r:id="rId2"/>
    <sheet name="Compartment Register" sheetId="2" r:id="rId3"/>
    <sheet name="Original Images Register" sheetId="3" r:id="rId4"/>
    <sheet name="Compartment Reviews" sheetId="4" r:id="rId5"/>
  </sheets>
  <definedNames>
    <definedName name="ExternalData_1" localSheetId="2" hidden="1">'Compartment Register'!$A$1:$K$21</definedName>
    <definedName name="ExternalData_2" localSheetId="3" hidden="1">'Original Images Register'!$A$1:$S$3</definedName>
    <definedName name="ExternalData_3" localSheetId="4" hidden="1">'Compartment Reviews'!$A$1:$N$2</definedName>
    <definedName name="ExternalData_4" localSheetId="1" hidden="1">Instructions!$A$33:$E$65</definedName>
    <definedName name="RegisterFolder">FilePathTable[RegisterFolder]</definedName>
    <definedName name="ThisWorkbookPath">FilePathTable[Workbook Path]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" l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 s="1"/>
  <c r="C18" i="1" a="1"/>
  <c r="C18" i="1" s="1"/>
  <c r="A24" i="1" a="1"/>
  <c r="A24" i="1" s="1"/>
  <c r="B27" i="1" s="1" a="1"/>
  <c r="B27" i="1" s="1"/>
  <c r="B29" i="1" l="1"/>
  <c r="B31" i="1"/>
  <c r="B30" i="1"/>
  <c r="B2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858C59-BAE0-44EC-91D2-76A8676F3AB0}" keepAlive="1" name="Query - compartment_register" description="Connection to the 'compartment_register' query in the workbook." type="5" refreshedVersion="8" background="1" saveData="1">
    <dbPr connection="Provider=Microsoft.Mashup.OleDb.1;Data Source=$Workbook$;Location=compartment_register;Extended Properties=&quot;&quot;" command="SELECT * FROM [compartment_register]"/>
  </connection>
  <connection id="2" xr16:uid="{49EEBBFF-2768-4B20-9DFE-C92F635B6BEA}" keepAlive="1" name="Query - compartment_reviews" description="Connection to the 'compartment_reviews' query in the workbook." type="5" refreshedVersion="8" background="1" saveData="1">
    <dbPr connection="Provider=Microsoft.Mashup.OleDb.1;Data Source=$Workbook$;Location=compartment_reviews;Extended Properties=&quot;&quot;" command="SELECT * FROM [compartment_reviews]"/>
  </connection>
  <connection id="3" xr16:uid="{FC67CA5A-12E5-406A-9DEB-28DAB35B1395}" keepAlive="1" name="Query - LoadJsonFromSettings" description="Connection to the 'LoadJsonFromSettings' query in the workbook." type="5" refreshedVersion="0" background="1">
    <dbPr connection="Provider=Microsoft.Mashup.OleDb.1;Data Source=$Workbook$;Location=LoadJsonFromSettings;Extended Properties=&quot;&quot;" command="SELECT * FROM [LoadJsonFromSettings]"/>
  </connection>
  <connection id="4" xr16:uid="{F0C38456-2C98-4209-936E-99BA5CA3437B}" keepAlive="1" name="Query - original_images_register" description="Connection to the 'original_images_register' query in the workbook." type="5" refreshedVersion="8" background="1" saveData="1">
    <dbPr connection="Provider=Microsoft.Mashup.OleDb.1;Data Source=$Workbook$;Location=original_images_register;Extended Properties=&quot;&quot;" command="SELECT * FROM [original_images_register]"/>
  </connection>
  <connection id="5" xr16:uid="{A549D9C2-3286-41EE-BA18-7B24AFC03ED2}" keepAlive="1" name="Query - Required JSON Columns" description="Connection to the 'Required JSON Columns' query in the workbook." type="5" refreshedVersion="8" background="1" saveData="1">
    <dbPr connection="Provider=Microsoft.Mashup.OleDb.1;Data Source=$Workbook$;Location=&quot;Required JSON Columns&quot;;Extended Properties=&quot;&quot;" command="SELECT * FROM [Required JSON Column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<sst xmlns="http://schemas.openxmlformats.org/spreadsheetml/2006/main" count="29" uniqueCount="29">
  <si>
    <t>After Setup:</t>
  </si>
  <si>
    <t>- Data will refresh automatically when you open the file</t>
  </si>
  <si>
    <t>- Manual refresh: Data tab → Refresh All</t>
  </si>
  <si>
    <t>test</t>
  </si>
  <si>
    <t>RegisterPath</t>
  </si>
  <si>
    <t>CompartmentReviews</t>
  </si>
  <si>
    <t>CompartmentRegister</t>
  </si>
  <si>
    <t>OriginalImages</t>
  </si>
  <si>
    <t>Register Data (Do not edit)</t>
  </si>
  <si>
    <t>ConfigItem</t>
  </si>
  <si>
    <t>FilePath</t>
  </si>
  <si>
    <t>BasePath</t>
  </si>
  <si>
    <t>Workbook Path</t>
  </si>
  <si>
    <t>RegisterFolder</t>
  </si>
  <si>
    <t>AUTHENTICATION</t>
  </si>
  <si>
    <t>When you open this file / refresh data you may need to sign in.</t>
  </si>
  <si>
    <t>If there's a bar at the top of the file saying 'External Data Connections have been disabled' - Click Enable.</t>
  </si>
  <si>
    <t>Project Code</t>
  </si>
  <si>
    <t>Meters Drilled</t>
  </si>
  <si>
    <t>Photo Completion Percentage</t>
  </si>
  <si>
    <t>Project Status</t>
  </si>
  <si>
    <t>SB</t>
  </si>
  <si>
    <t>NB</t>
  </si>
  <si>
    <t>BA</t>
  </si>
  <si>
    <t>KM</t>
  </si>
  <si>
    <t>OK</t>
  </si>
  <si>
    <t>BT</t>
  </si>
  <si>
    <t>BB</t>
  </si>
  <si>
    <t>- THIS IS EFFECTIVELY A VIEW-ONLY WORKBOOK - EDITS SHOULD NOT BE MADE HERE MANUALLY!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</si>
</sst>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44" formatCode="_-&quot;$&quot;* #,##0.00_-;\-&quot;$&quot;* #,##0.00_-;_-&quot;$&quot;* &quot;-&quot;??_-;_-@_-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sz val="8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rgb="FF008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22" fontId="0" fillId="0" borderId="0" xfId="0" applyNumberFormat="1"/>
    <xf numFmtId="44" fontId="0" fillId="0" borderId="0" xfId="1" applyFont="1"/>
    <xf numFmtId="44" fontId="0" fillId="0" borderId="0" xfId="0" applyNumberFormat="1"/>
    <xf numFmtId="8" fontId="3" fillId="0" borderId="0" xfId="0" applyNumberFormat="1" applyFont="1"/>
    <xf numFmtId="8" fontId="0" fillId="0" borderId="0" xfId="0" applyNumberFormat="1"/>
    <xf numFmtId="3" fontId="0" fillId="0" borderId="0" xfId="0" applyNumberFormat="1"/>
    <xf numFmtId="3" fontId="2" fillId="0" borderId="0" xfId="0" applyNumberFormat="1" applyFon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0" xfId="0" applyFont="1"/>
    <xf numFmtId="0" fontId="5" fillId="0" borderId="0" xfId="0" applyFont="1" applyAlignment="1">
      <alignment vertical="center"/>
    </xf>
    <xf numFmtId="0" fontId="7" fillId="0" borderId="0" xfId="0" applyFont="1"/>
    <xf numFmtId="0" fontId="8" fillId="0" borderId="0" xfId="0" applyFont="1"/>
    <xf numFmtId="0" fontId="4" fillId="0" borderId="0" xfId="0" applyFont="1"/>
    <xf numFmtId="0" fontId="0" fillId="0" borderId="1" xfId="0" applyBorder="1"/>
    <xf numFmtId="0" fontId="4" fillId="0" borderId="0" xfId="0" quotePrefix="1" applyFont="1"/>
    <xf numFmtId="0" fontId="9" fillId="2" borderId="0" xfId="0" applyFont="1" applyFill="1" applyAlignment="1">
      <alignment horizontal="center"/>
    </xf>
    <xf numFmtId="0" fontId="0" fillId="0" borderId="0" xfId="0" applyNumberFormat="1"/>
  </cellXfs>
  <cellStyles count="2">
    <cellStyle name="Currency" xfId="1" builtinId="4"/>
    <cellStyle name="Normal" xfId="0" builtinId="0"/>
  </cellStyles>
  <dxfs count="21">
    <dxf>
      <numFmt numFmtId="0" formatCode="General"/>
    </dxf>
    <dxf>
      <numFmt numFmtId="0" formatCode="General"/>
    </dxf>
    <dxf>
      <numFmt numFmtId="0" formatCode="General"/>
    </dxf>
    <dxf>
      <numFmt numFmtId="27" formatCode="d/mm/yyyy\ h:mm"/>
    </dxf>
    <dxf>
      <numFmt numFmtId="27" formatCode="d/mm/yyyy\ h:mm"/>
    </dxf>
    <dxf>
      <fill>
        <patternFill>
          <bgColor theme="9" tint="0.39994506668294322"/>
        </patternFill>
      </fill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numFmt numFmtId="0" formatCode="General"/>
    </dxf>
    <dxf>
      <border>
        <bottom style="thin">
          <color theme="0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4B700E56-7C18-4F4D-8AEB-59C4A7C1DF47}" autoFormatId="16" applyNumberFormats="0" applyBorderFormats="0" applyFontFormats="0" applyPatternFormats="0" applyAlignmentFormats="0" applyWidthHeightFormats="0">
  <queryTableRefresh nextId="9">
    <queryTableFields count="5">
      <queryTableField id="2" name="FieldName" tableColumnId="1"/>
      <queryTableField id="3" name="compartment_reviews" tableColumnId="2"/>
      <queryTableField id="4" name="compartment_register" tableColumnId="3"/>
      <queryTableField id="5" name="original_images_register" tableColumnId="4"/>
      <queryTableField id="6" name="DataTyp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CDF9CDB-B4C7-43F7-878B-257B067AEBFA}" autoFormatId="16" applyNumberFormats="0" applyBorderFormats="0" applyFontFormats="0" applyPatternFormats="0" applyAlignmentFormats="0" applyWidthHeightFormats="0">
  <queryTableRefresh nextId="16">
    <queryTableFields count="11">
      <queryTableField id="1" name="HoleID" tableColumnId="1"/>
      <queryTableField id="2" name="From" tableColumnId="2"/>
      <queryTableField id="3" name="To" tableColumnId="3"/>
      <queryTableField id="4" name="Photo_Status" tableColumnId="4"/>
      <queryTableField id="10" name="Processed_Date" tableColumnId="9"/>
      <queryTableField id="11" name="Processed_By" tableColumnId="10"/>
      <queryTableField id="8" name="Average_Hex_Color" tableColumnId="8"/>
      <queryTableField id="12" name="Image_Width_Cm" tableColumnId="11"/>
      <queryTableField id="5" name="Approved_Date" tableColumnId="5"/>
      <queryTableField id="6" name="Approved_By" tableColumnId="6"/>
      <queryTableField id="7" name="Comments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96261C3-A740-4FA5-99B2-71434C11CCEA}" autoFormatId="16" applyNumberFormats="0" applyBorderFormats="0" applyFontFormats="0" applyPatternFormats="0" applyAlignmentFormats="0" applyWidthHeightFormats="0">
  <queryTableRefresh nextId="20">
    <queryTableFields count="19">
      <queryTableField id="1" name="HoleID" tableColumnId="1"/>
      <queryTableField id="2" name="Depth_From" tableColumnId="2"/>
      <queryTableField id="3" name="Depth_To" tableColumnId="3"/>
      <queryTableField id="4" name="Original_Filename" tableColumnId="4"/>
      <queryTableField id="5" name="File_Count" tableColumnId="5"/>
      <queryTableField id="6" name="All_Filenames" tableColumnId="6"/>
      <queryTableField id="7" name="Approved_Upload_Date" tableColumnId="7"/>
      <queryTableField id="8" name="Approved_Upload_Status" tableColumnId="8"/>
      <queryTableField id="9" name="Rejected_Upload_Date" tableColumnId="9"/>
      <queryTableField id="10" name="Rejected_Upload_Status" tableColumnId="10"/>
      <queryTableField id="11" name="Uploaded_By" tableColumnId="11"/>
      <queryTableField id="12" name="Comments" tableColumnId="12"/>
      <queryTableField id="13" name="Scale_PxPerCm" tableColumnId="13"/>
      <queryTableField id="14" name="Scale_Confidence" tableColumnId="14"/>
      <queryTableField id="15" name="Compartments" tableColumnId="15"/>
      <queryTableField id="16" name="Compartment_Count" tableColumnId="16"/>
      <queryTableField id="17" name="Compartment_Numbers" tableColumnId="17"/>
      <queryTableField id="18" name="Missing_Individual" tableColumnId="18"/>
      <queryTableField id="19" name="Missing_Across_All_Images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AA0BBD43-2D68-4BC8-94EB-7242BB6ADBC7}" autoFormatId="16" applyNumberFormats="0" applyBorderFormats="0" applyFontFormats="0" applyPatternFormats="0" applyAlignmentFormats="0" applyWidthHeightFormats="0">
  <queryTableRefresh nextId="34" unboundColumnsRight="1">
    <queryTableFields count="15">
      <queryTableField id="1" name="HoleID" tableColumnId="1"/>
      <queryTableField id="2" name="From" tableColumnId="2"/>
      <queryTableField id="3" name="To" tableColumnId="3"/>
      <queryTableField id="4" name="Reviewed_By" tableColumnId="4"/>
      <queryTableField id="7" name="Initial_Review_Date" tableColumnId="7"/>
      <queryTableField id="6" name="Review_Date" tableColumnId="6"/>
      <queryTableField id="5" name="Review_Number" tableColumnId="5"/>
      <queryTableField id="8" name="Comments" tableColumnId="8"/>
      <queryTableField id="28" name="+ CHH/M" tableColumnId="9"/>
      <queryTableField id="29" name="+ QZ" tableColumnId="10"/>
      <queryTableField id="16" name="BIFf" tableColumnId="16"/>
      <queryTableField id="30" name="Bad Image" tableColumnId="12"/>
      <queryTableField id="17" name="Compact" tableColumnId="17"/>
      <queryTableField id="11" name="Porous" tableColumnId="11"/>
      <queryTableField id="15" dataBound="0" tableColumnId="1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5365A0-4E89-46AA-9CCD-40423A851578}" name="JSONConfig" displayName="JSONConfig" ref="A26:B31" totalsRowShown="0" headerRowDxfId="20">
  <autoFilter ref="A26:B31" xr:uid="{685365A0-4E89-46AA-9CCD-40423A851578}"/>
  <tableColumns count="2">
    <tableColumn id="1" xr3:uid="{D0F3BA87-F680-4DAE-BF7F-0B0E4056F908}" name="ConfigItem" dataDxfId="19"/>
    <tableColumn id="2" xr3:uid="{B225CAF0-328D-4BF2-9468-BD1718D1A63F}" name="FilePath" dataDxfId="18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C4DB335-0AC7-4C67-A633-237B8EA41A02}" name="FilePathTable" displayName="FilePathTable" ref="A23:B24" totalsRowShown="0" dataDxfId="17">
  <autoFilter ref="A23:B24" xr:uid="{7C4DB335-0AC7-4C67-A633-237B8EA41A02}"/>
  <tableColumns count="2">
    <tableColumn id="1" xr3:uid="{88125230-CA13-41B9-8BA3-D286F60DDE3C}" name="Workbook Path" dataDxfId="16">
      <calculatedColumnFormula array="1">LEFT(CELL("filename",A1),FIND("[",CELL("filename",A1))-1)</calculatedColumnFormula>
    </tableColumn>
    <tableColumn id="2" xr3:uid="{3C1603AC-DF5F-4F74-AFCA-934BA9C6784B}" name="RegisterFolder" dataDxfId="15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8710BF-3B97-41F0-B0F7-06698EFB552F}" name="Required_JSON_Columns" displayName="Required_JSON_Columns" ref="A33:E65" tableType="queryTable" totalsRowShown="0">
  <autoFilter ref="A33:E65" xr:uid="{1F8710BF-3B97-41F0-B0F7-06698EFB552F}"/>
  <sortState xmlns:xlrd2="http://schemas.microsoft.com/office/spreadsheetml/2017/richdata2" ref="A34:E65">
    <sortCondition ref="A33:A65"/>
  </sortState>
  <tableColumns count="5">
    <tableColumn id="1" xr3:uid="{3C15776C-2016-41C1-94EE-EBD624946CDB}" uniqueName="1" name="FieldName" queryTableFieldId="2"/>
    <tableColumn id="2" xr3:uid="{010D7CBA-D82F-421E-AB17-FB70F0E973F0}" uniqueName="2" name="compartment_reviews" queryTableFieldId="3"/>
    <tableColumn id="3" xr3:uid="{18C7B01E-0BBB-4509-B33C-54B067787AF0}" uniqueName="3" name="compartment_register" queryTableFieldId="4"/>
    <tableColumn id="4" xr3:uid="{01BB3838-B6A8-4434-A8E6-31C0BD0741D6}" uniqueName="4" name="original_images_register" queryTableFieldId="5"/>
    <tableColumn id="5" xr3:uid="{195301CA-5270-4FC7-97FD-8ECAE21B136F}" uniqueName="5" name="DataType" queryTableFieldId="6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9E527C-777D-4B11-B6D5-CA00005D9EB1}" name="ProjectStatus" displayName="ProjectStatus" ref="A11:C18" totalsRowShown="0" headerRowDxfId="14" headerRowBorderDxfId="13">
  <autoFilter ref="A11:C18" xr:uid="{EF9E527C-777D-4B11-B6D5-CA00005D9EB1}">
    <filterColumn colId="0" hiddenButton="1"/>
    <filterColumn colId="1" hiddenButton="1"/>
    <filterColumn colId="2" hiddenButton="1"/>
  </autoFilter>
  <tableColumns count="3">
    <tableColumn id="1" xr3:uid="{A0D59ADC-03B3-483A-B474-61BDE7B98E37}" name="Project Code"/>
    <tableColumn id="3" xr3:uid="{1DC94A4E-8BB3-4546-8981-723C46D2A5B5}" name="Meters Drilled"/>
    <tableColumn id="4" xr3:uid="{C67CDD82-ECE8-4C51-8B10-0DF99450DE8C}" name="Photo Completion Percentage" dataDxfId="12">
      <calculatedColumnFormula array="1">IF(ProjectStatus[[#This Row],[Meters Drilled]]=0,"Please enter total meters drilled",
   TEXT(SUMPRODUCT(--(LEFT(compartment_register[HoleID],2)=ProjectStatus[[#This Row],[Project Code]]))/ProjectStatus[[#This Row],[Meters Drilled]], "0.0%"))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CFB1BA-0D79-40DB-8054-1400A73D35EB}" name="compartment_register" displayName="compartment_register" ref="A1:K21" tableType="queryTable" totalsRowShown="0">
  <autoFilter ref="A1:K21" xr:uid="{B5CFB1BA-0D79-40DB-8054-1400A73D35EB}"/>
  <tableColumns count="11">
    <tableColumn id="1" xr3:uid="{18005857-3E00-452A-804E-2D94A2AA5EC1}" uniqueName="1" name="HoleID" queryTableFieldId="1"/>
    <tableColumn id="2" xr3:uid="{923EA014-64E8-4147-9BA3-C1C8091E48C3}" uniqueName="2" name="From" queryTableFieldId="2"/>
    <tableColumn id="3" xr3:uid="{D3481393-D843-4F03-BB70-D421D80FE9AA}" uniqueName="3" name="To" queryTableFieldId="3"/>
    <tableColumn id="4" xr3:uid="{7C4C2563-E6CF-4F93-868A-D93CF51C17BB}" uniqueName="4" name="Photo_Status" queryTableFieldId="4"/>
    <tableColumn id="9" xr3:uid="{58CD203E-0F48-4746-9110-01AB94AB0AB1}" uniqueName="9" name="Processed_Date" queryTableFieldId="10" dataDxfId="9"/>
    <tableColumn id="10" xr3:uid="{97335F8C-B58B-42BF-B4B8-79715AE608C8}" uniqueName="10" name="Processed_By" queryTableFieldId="11"/>
    <tableColumn id="8" xr3:uid="{912A5CB0-E274-4541-833F-58FB59B2AF50}" uniqueName="8" name="Average_Hex_Color" queryTableFieldId="8"/>
    <tableColumn id="11" xr3:uid="{6CD40E4F-47A3-4CBC-85D1-546351941305}" uniqueName="11" name="Image_Width_Cm" queryTableFieldId="12"/>
    <tableColumn id="5" xr3:uid="{A9C5ACF1-D0EF-46CC-B3DE-68041944E931}" uniqueName="5" name="Approved_Date" queryTableFieldId="5" dataDxfId="8"/>
    <tableColumn id="6" xr3:uid="{F4DBB5A6-ACB3-4219-99DD-B3CB00140CB9}" uniqueName="6" name="Approved_By" queryTableFieldId="6"/>
    <tableColumn id="7" xr3:uid="{2C17DAC7-0BF7-467F-9DAA-E9CC371B7D25}" uniqueName="7" name="Comments" queryTableFieldId="7"/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F3D4F5-AF23-44D3-B42C-4FB4C1B66A9D}" name="original_images_register" displayName="original_images_register" ref="A1:S3" tableType="queryTable" totalsRowShown="0">
  <autoFilter ref="A1:S3" xr:uid="{77F3D4F5-AF23-44D3-B42C-4FB4C1B66A9D}"/>
  <sortState xmlns:xlrd2="http://schemas.microsoft.com/office/spreadsheetml/2017/richdata2" ref="A2:S3">
    <sortCondition ref="D1:D3"/>
  </sortState>
  <tableColumns count="19">
    <tableColumn id="1" xr3:uid="{5FEF2878-9334-4ADD-8835-2BBD85BEDD0B}" uniqueName="1" name="HoleID" queryTableFieldId="1"/>
    <tableColumn id="2" xr3:uid="{2F04E75F-C3DC-43FA-9738-39E2BB35E10D}" uniqueName="2" name="Depth_From" queryTableFieldId="2"/>
    <tableColumn id="3" xr3:uid="{2B9BD355-C4D3-44F3-94F0-3CBA740D26EA}" uniqueName="3" name="Depth_To" queryTableFieldId="3"/>
    <tableColumn id="4" xr3:uid="{E6474E7F-DC08-4E0C-8544-BCA8E4BAC220}" uniqueName="4" name="Original_Filename" queryTableFieldId="4"/>
    <tableColumn id="5" xr3:uid="{8A65B35B-4AC6-4D8C-A9BA-4FF283EE9BF2}" uniqueName="5" name="File_Count" queryTableFieldId="5"/>
    <tableColumn id="6" xr3:uid="{0915666F-3223-4AB5-B8C3-74C9AF1589A4}" uniqueName="6" name="All_Filenames" queryTableFieldId="6"/>
    <tableColumn id="7" xr3:uid="{3C3A7894-E172-4ED5-A1F1-E02A80197CC0}" uniqueName="7" name="Approved_Upload_Date" queryTableFieldId="7" dataDxfId="4"/>
    <tableColumn id="8" xr3:uid="{C9F1F19D-C2DE-427E-99EF-9A74AB0EC33B}" uniqueName="8" name="Approved_Upload_Status" queryTableFieldId="8"/>
    <tableColumn id="9" xr3:uid="{41AF9CBE-8DE5-4A72-A27A-C016B6EE0EB3}" uniqueName="9" name="Rejected_Upload_Date" queryTableFieldId="9" dataDxfId="3"/>
    <tableColumn id="10" xr3:uid="{75D46240-D05B-409A-9430-FE8C4B7EA52C}" uniqueName="10" name="Rejected_Upload_Status" queryTableFieldId="10"/>
    <tableColumn id="11" xr3:uid="{AF159234-D4EF-4431-A7DF-A5AAA0678510}" uniqueName="11" name="Uploaded_By" queryTableFieldId="11"/>
    <tableColumn id="12" xr3:uid="{66CA5746-C3C4-49E9-8AA0-45C16C82AFAF}" uniqueName="12" name="Comments" queryTableFieldId="12"/>
    <tableColumn id="13" xr3:uid="{0982D185-8298-4246-B814-E5282F18BF58}" uniqueName="13" name="Scale_PxPerCm" queryTableFieldId="13"/>
    <tableColumn id="14" xr3:uid="{94082A86-D19C-4213-B5AD-BA639A8DB0DA}" uniqueName="14" name="Scale_Confidence" queryTableFieldId="14"/>
    <tableColumn id="15" xr3:uid="{6EEBD38A-8420-4272-BC47-78901415E68C}" uniqueName="15" name="Compartments" queryTableFieldId="15"/>
    <tableColumn id="16" xr3:uid="{F38C9593-47C3-46E9-A88B-2AF6703BDA8F}" uniqueName="16" name="Compartment_Count" queryTableFieldId="16"/>
    <tableColumn id="17" xr3:uid="{6AC401DA-60BB-452A-BC9A-9E563D0F2D85}" uniqueName="17" name="Compartment_Numbers" queryTableFieldId="17" dataDxfId="2"/>
    <tableColumn id="18" xr3:uid="{8B4C5FFA-19EE-4DFD-B99A-AC75DF9103CB}" uniqueName="18" name="Missing_Individual" queryTableFieldId="18" dataDxfId="1"/>
    <tableColumn id="19" xr3:uid="{F33F3469-BD18-42A1-8042-28D543521E21}" uniqueName="19" name="Missing_Across_All_Images" queryTableFieldId="19" dataDxfId="0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2C6D8F-1A7E-47D5-889E-718C8E820CB6}" name="compartment_reviews" displayName="compartment_reviews" ref="A1:O2" tableType="queryTable" insertRow="1" totalsRowShown="0">
  <autoFilter ref="A1:O2" xr:uid="{D92C6D8F-1A7E-47D5-889E-718C8E820CB6}"/>
  <tableColumns count="15">
    <tableColumn id="1" xr3:uid="{E9C02832-A8D0-4169-859F-5337464AAD7E}" uniqueName="1" name="HoleID" queryTableFieldId="1"/>
    <tableColumn id="2" xr3:uid="{92142FA8-9B8B-497C-BF0A-215A3BFD8E19}" uniqueName="2" name="From" queryTableFieldId="2"/>
    <tableColumn id="3" xr3:uid="{5EC52A2D-6B39-473A-A8CC-71802A38369C}" uniqueName="3" name="To" queryTableFieldId="3"/>
    <tableColumn id="4" xr3:uid="{73350620-714F-4CC8-8D9B-19C7E18E7307}" uniqueName="4" name="Reviewed_By" queryTableFieldId="4"/>
    <tableColumn id="7" xr3:uid="{9AFCD361-D87F-45B0-ACBA-59154786BF20}" uniqueName="7" name="Initial_Review_Date" queryTableFieldId="7" dataDxfId="7"/>
    <tableColumn id="6" xr3:uid="{662DA04F-0727-45F8-9D6B-1310C351B835}" uniqueName="6" name="Review_Date" queryTableFieldId="6" dataDxfId="6"/>
    <tableColumn id="5" xr3:uid="{D53EA9A4-640B-473B-BEA8-1C5C1A4F5EFD}" uniqueName="5" name="Review_Number" queryTableFieldId="5"/>
    <tableColumn id="8" xr3:uid="{A31129B5-150B-4EE9-B762-D69C87B60284}" uniqueName="8" name="Comments" queryTableFieldId="8"/>
    <tableColumn id="9" xr3:uid="{E3EB0979-856B-4ABC-9684-9AFE6BBABF57}" uniqueName="9" name="+ CHH/M" queryTableFieldId="28"/>
    <tableColumn id="10" xr3:uid="{9E6B5951-4966-43C5-AC45-C43A146307C3}" uniqueName="10" name="+ QZ" queryTableFieldId="29"/>
    <tableColumn id="16" xr3:uid="{21EC2B1A-B8A4-4C83-B058-472F56CB5D5D}" uniqueName="16" name="BIFf" queryTableFieldId="16"/>
    <tableColumn id="12" xr3:uid="{596D6446-B7AE-4769-89A1-06751CE2304B}" uniqueName="12" name="Bad Image" queryTableFieldId="30"/>
    <tableColumn id="17" xr3:uid="{D1D2BBD8-92EF-4B65-B409-7BFBA412E4A1}" uniqueName="17" name="Compact" queryTableFieldId="17"/>
    <tableColumn id="11" xr3:uid="{635AFB24-5001-40E4-9067-997CA1BF6400}" uniqueName="11" name="Porous" queryTableFieldId="11"/>
    <tableColumn id="15" xr3:uid="{F11AF6A8-EACA-43C4-AD6E-6ED112D7ADCC}" uniqueName="15" name="test" queryTableFieldId="15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5234F-B7CA-481F-8EFA-E1FDF280C7BF}">
  <sheetPr codeName="Sheet1"/>
  <dimension ref="A1"/>
  <sheetViews>
    <sheetView workbookViewId="0">
      <selection activeCell="F2" sqref="A1:N3"/>
    </sheetView>
  </sheetViews>
  <sheetFormatPr defaultRowHeight="15"/>
  <cols>
    <col min="1" max="1" width="9.28515625" bestFit="1" customWidth="1"/>
    <col min="2" max="2" width="7.85546875" bestFit="1" customWidth="1"/>
    <col min="3" max="3" width="5.42578125" bestFit="1" customWidth="1"/>
    <col min="4" max="4" width="15.42578125" bestFit="1" customWidth="1"/>
    <col min="5" max="5" width="18.28515625" bestFit="1" customWidth="1"/>
    <col min="6" max="7" width="25.7109375" bestFit="1" customWidth="1"/>
    <col min="8" max="8" width="12.85546875" bestFit="1" customWidth="1"/>
    <col min="9" max="9" width="13" bestFit="1" customWidth="1"/>
    <col min="10" max="10" width="10" bestFit="1" customWidth="1"/>
    <col min="11" max="11" width="9.42578125" bestFit="1" customWidth="1"/>
    <col min="12" max="12" width="10.140625" bestFit="1" customWidth="1"/>
    <col min="13" max="13" width="10.42578125" bestFit="1" customWidth="1"/>
    <col min="14" max="14" width="14.570312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1:E65"/>
  <sheetViews>
    <sheetView workbookViewId="0">
      <selection activeCell="A8" sqref="A8"/>
    </sheetView>
  </sheetViews>
  <sheetFormatPr defaultRowHeight="15"/>
  <cols>
    <col min="1" max="1" width="24" bestFit="1" customWidth="1"/>
    <col min="2" max="2" width="23.7109375" bestFit="1" customWidth="1"/>
    <col min="3" max="3" width="23.42578125" bestFit="1" customWidth="1"/>
    <col min="4" max="4" width="25.5703125" bestFit="1" customWidth="1"/>
    <col min="5" max="5" width="11.5703125" bestFit="1" customWidth="1"/>
    <col min="6" max="6" width="185" bestFit="1" customWidth="1"/>
  </cols>
  <sheetData>
    <row r="1" spans="1:4" ht="18.75">
      <c r="A1" s="12" t="s">
        <v>14</v>
      </c>
    </row>
    <row r="2" spans="1:4">
      <c r="A2" t="s">
        <v>15</v>
      </c>
    </row>
    <row r="3" spans="1:4">
      <c r="A3" t="s">
        <v>16</v>
      </c>
    </row>
    <row r="4" spans="1:4" ht="21">
      <c r="A4" s="13" t="s">
        <v>0</v>
      </c>
    </row>
    <row r="5" spans="1:4">
      <c r="A5" s="16" t="s">
        <v>28</v>
      </c>
    </row>
    <row r="6" spans="1:4">
      <c r="A6" t="s">
        <v>1</v>
      </c>
    </row>
    <row r="7" spans="1:4">
      <c r="A7" t="s">
        <v>2</v>
      </c>
    </row>
    <row r="10" spans="1:4">
      <c r="A10" s="17" t="s">
        <v>20</v>
      </c>
      <c r="B10" s="17"/>
      <c r="C10" s="17"/>
      <c r="D10" s="14"/>
    </row>
    <row r="11" spans="1:4">
      <c r="A11" s="15" t="s">
        <v>17</v>
      </c>
      <c r="B11" s="15" t="s">
        <v>18</v>
      </c>
      <c r="C11" s="15" t="s">
        <v>19</v>
      </c>
    </row>
    <row r="12" spans="1:4">
      <c r="A12" t="s">
        <v>21</v>
      </c>
      <c r="B12">
        <v>25978</v>
      </c>
      <c r="C12" t="str" cm="1">
        <f t="array" ref="C12">IF(ProjectStatus[[#This Row],[Meters Drilled]]=0,"Please enter total meters drilled",
   TEXT(SUMPRODUCT(--(LEFT(compartment_register[HoleID],2)=ProjectStatus[[#This Row],[Project Code]]))/ProjectStatus[[#This Row],[Meters Drilled]], "0.0%"))</f>
        <v>0.1%</v>
      </c>
    </row>
    <row r="13" spans="1:4">
      <c r="A13" t="s">
        <v>22</v>
      </c>
      <c r="B13">
        <v>32709</v>
      </c>
      <c r="C13" t="str" cm="1">
        <f t="array" ref="C13">IF(ProjectStatus[[#This Row],[Meters Drilled]]=0,"Please enter total meters drilled",
   TEXT(SUMPRODUCT(--(LEFT(compartment_register[HoleID],2)=ProjectStatus[[#This Row],[Project Code]]))/ProjectStatus[[#This Row],[Meters Drilled]], "0.0%"))</f>
        <v>0.0%</v>
      </c>
    </row>
    <row r="14" spans="1:4">
      <c r="A14" t="s">
        <v>23</v>
      </c>
      <c r="B14">
        <v>16144</v>
      </c>
      <c r="C14" t="str" cm="1">
        <f t="array" ref="C14">IF(ProjectStatus[[#This Row],[Meters Drilled]]=0,"Please enter total meters drilled",
   TEXT(SUMPRODUCT(--(LEFT(compartment_register[HoleID],2)=ProjectStatus[[#This Row],[Project Code]]))/ProjectStatus[[#This Row],[Meters Drilled]], "0.0%"))</f>
        <v>0.0%</v>
      </c>
    </row>
    <row r="15" spans="1:4">
      <c r="A15" t="s">
        <v>24</v>
      </c>
      <c r="C15" t="str" cm="1">
        <f t="array" ref="C15">IF(ProjectStatus[[#This Row],[Meters Drilled]]=0,"Please enter total meters drilled",
   TEXT(SUMPRODUCT(--(LEFT(compartment_register[HoleID],2)=ProjectStatus[[#This Row],[Project Code]]))/ProjectStatus[[#This Row],[Meters Drilled]], "0.0%"))</f>
        <v>Please enter total meters drilled</v>
      </c>
    </row>
    <row r="16" spans="1:4">
      <c r="A16" t="s">
        <v>25</v>
      </c>
      <c r="C16" t="str" cm="1">
        <f t="array" ref="C16">IF(ProjectStatus[[#This Row],[Meters Drilled]]=0,"Please enter total meters drilled",
   TEXT(SUMPRODUCT(--(LEFT(compartment_register[HoleID],2)=ProjectStatus[[#This Row],[Project Code]]))/ProjectStatus[[#This Row],[Meters Drilled]], "0.0%"))</f>
        <v>Please enter total meters drilled</v>
      </c>
    </row>
    <row r="17" spans="1:3">
      <c r="A17" t="s">
        <v>26</v>
      </c>
      <c r="C17" t="str" cm="1">
        <f t="array" ref="C17">IF(ProjectStatus[[#This Row],[Meters Drilled]]=0,"Please enter total meters drilled",
   TEXT(SUMPRODUCT(--(LEFT(compartment_register[HoleID],2)=ProjectStatus[[#This Row],[Project Code]]))/ProjectStatus[[#This Row],[Meters Drilled]], "0.0%"))</f>
        <v>Please enter total meters drilled</v>
      </c>
    </row>
    <row r="18" spans="1:3">
      <c r="A18" t="s">
        <v>27</v>
      </c>
      <c r="C18" t="str" cm="1">
        <f t="array" ref="C18">IF(ProjectStatus[[#This Row],[Meters Drilled]]=0,"Please enter total meters drilled",
   TEXT(SUMPRODUCT(--(LEFT(compartment_register[HoleID],2)=ProjectStatus[[#This Row],[Project Code]]))/ProjectStatus[[#This Row],[Meters Drilled]], "0.0%"))</f>
        <v>Please enter total meters drilled</v>
      </c>
    </row>
    <row r="23" spans="1:3">
      <c r="A23" t="s">
        <v>12</v>
      </c>
      <c r="B23" t="s">
        <v>13</v>
      </c>
    </row>
    <row r="24" spans="1:3">
      <c r="A24" s="10" t="str" cm="1">
        <f t="array" aca="1" ref="A24" ca="1">LEFT(CELL("filename",A1),FIND("[",CELL("filename",A1))-1)</f>
        <v>C:\Test 7\shared path test\Chip Tray Register\</v>
      </c>
      <c r="B24" s="10" t="s">
        <v>8</v>
      </c>
    </row>
    <row r="26" spans="1:3">
      <c r="A26" s="8" t="s">
        <v>9</v>
      </c>
      <c r="B26" s="8" t="s">
        <v>10</v>
      </c>
    </row>
    <row r="27" spans="1:3">
      <c r="A27" s="9" t="s">
        <v>11</v>
      </c>
      <c r="B27" s="11" t="str" cm="1">
        <f t="array" aca="1" ref="B27" ca="1">ThisWorkbookPath</f>
        <v>C:\Test 7\shared path test\Chip Tray Register\</v>
      </c>
    </row>
    <row r="28" spans="1:3">
      <c r="A28" s="9" t="s">
        <v>4</v>
      </c>
      <c r="B28" s="11" t="str">
        <f ca="1">_xlfn.CONCAT(ThisWorkbookPath,RegisterFolder,"/")</f>
        <v>C:\Test 7\shared path test\Chip Tray Register\Register Data (Do not edit)/</v>
      </c>
    </row>
    <row r="29" spans="1:3">
      <c r="A29" s="9" t="s">
        <v>5</v>
      </c>
      <c r="B29" s="11" t="str">
        <f ca="1">_xlfn.CONCAT(ThisWorkbookPath,RegisterFolder,"/compartment_reviews.json")</f>
        <v>C:\Test 7\shared path test\Chip Tray Register\Register Data (Do not edit)/compartment_reviews.json</v>
      </c>
    </row>
    <row r="30" spans="1:3">
      <c r="A30" s="9" t="s">
        <v>6</v>
      </c>
      <c r="B30" s="11" t="str">
        <f ca="1">_xlfn.CONCAT(ThisWorkbookPath,RegisterFolder,"/compartment_register.json")</f>
        <v>C:\Test 7\shared path test\Chip Tray Register\Register Data (Do not edit)/compartment_register.json</v>
      </c>
    </row>
    <row r="31" spans="1:3">
      <c r="A31" s="9" t="s">
        <v>7</v>
      </c>
      <c r="B31" s="11" t="str">
        <f ca="1">_xlfn.CONCAT(ThisWorkbookPath,RegisterFolder,"/original_images_register.json")</f>
        <v>C:\Test 7\shared path test\Chip Tray Register\Register Data (Do not edit)/original_images_register.json</v>
      </c>
    </row>
    <row r="33" spans="1:5">
      <c r="A33"/>
      <c r="B33"/>
      <c r="C33"/>
      <c r="D33"/>
      <c r="E33"/>
    </row>
    <row r="34" spans="1:5">
      <c r="A34"/>
      <c r="B34"/>
      <c r="C34"/>
      <c r="D34"/>
      <c r="E34"/>
    </row>
    <row r="35" spans="1:5">
      <c r="A35"/>
      <c r="B35"/>
      <c r="C35"/>
      <c r="D35"/>
      <c r="E35"/>
    </row>
    <row r="36" spans="1:5">
      <c r="A36"/>
      <c r="B36"/>
      <c r="C36"/>
      <c r="D36"/>
      <c r="E36"/>
    </row>
    <row r="37" spans="1:5">
      <c r="A37"/>
      <c r="B37"/>
      <c r="C37"/>
      <c r="D37"/>
      <c r="E37"/>
    </row>
    <row r="38" spans="1:5">
      <c r="A38"/>
      <c r="B38"/>
      <c r="C38"/>
      <c r="D38"/>
      <c r="E38"/>
    </row>
    <row r="39" spans="1:5">
      <c r="A39"/>
      <c r="B39"/>
      <c r="C39"/>
      <c r="D39"/>
      <c r="E39"/>
    </row>
    <row r="40" spans="1:5">
      <c r="A40"/>
      <c r="B40"/>
      <c r="C40"/>
      <c r="D40"/>
      <c r="E40"/>
    </row>
    <row r="41" spans="1:5">
      <c r="A41"/>
      <c r="B41"/>
      <c r="C41"/>
      <c r="D41"/>
      <c r="E41"/>
    </row>
    <row r="42" spans="1:5">
      <c r="A42"/>
      <c r="B42"/>
      <c r="C42"/>
      <c r="D42"/>
      <c r="E42"/>
    </row>
    <row r="43" spans="1:5">
      <c r="A43"/>
      <c r="B43"/>
      <c r="C43"/>
      <c r="D43"/>
      <c r="E43"/>
    </row>
    <row r="44" spans="1:5">
      <c r="A44"/>
      <c r="B44"/>
      <c r="C44"/>
      <c r="D44"/>
      <c r="E44"/>
    </row>
    <row r="45" spans="1:5">
      <c r="A45"/>
      <c r="B45"/>
      <c r="C45"/>
      <c r="D45"/>
      <c r="E45"/>
    </row>
    <row r="46" spans="1:5">
      <c r="A46"/>
      <c r="B46"/>
      <c r="C46"/>
      <c r="D46"/>
      <c r="E46"/>
    </row>
    <row r="47" spans="1:5">
      <c r="A47"/>
      <c r="B47"/>
      <c r="C47"/>
      <c r="D47"/>
      <c r="E47"/>
    </row>
    <row r="48" spans="1:5">
      <c r="A48"/>
      <c r="B48"/>
      <c r="C48"/>
      <c r="D48"/>
      <c r="E48"/>
    </row>
    <row r="49" spans="1:5">
      <c r="A49"/>
      <c r="B49"/>
      <c r="C49"/>
      <c r="D49"/>
      <c r="E49"/>
    </row>
    <row r="50" spans="1:5">
      <c r="A50"/>
      <c r="B50"/>
      <c r="C50"/>
      <c r="D50"/>
      <c r="E50"/>
    </row>
    <row r="51" spans="1:5">
      <c r="A51"/>
      <c r="B51"/>
      <c r="C51"/>
      <c r="D51"/>
      <c r="E51"/>
    </row>
    <row r="52" spans="1:5">
      <c r="A52"/>
      <c r="B52"/>
      <c r="C52"/>
      <c r="D52"/>
      <c r="E52"/>
    </row>
    <row r="53" spans="1:5">
      <c r="A53"/>
      <c r="B53"/>
      <c r="C53"/>
      <c r="D53"/>
      <c r="E53"/>
    </row>
    <row r="54" spans="1:5">
      <c r="A54"/>
      <c r="B54"/>
      <c r="C54"/>
      <c r="D54"/>
      <c r="E54"/>
    </row>
    <row r="55" spans="1:5">
      <c r="A55"/>
      <c r="B55"/>
      <c r="C55"/>
      <c r="D55"/>
      <c r="E55"/>
    </row>
    <row r="56" spans="1:5">
      <c r="A56"/>
      <c r="B56"/>
      <c r="C56"/>
      <c r="D56"/>
      <c r="E56"/>
    </row>
    <row r="57" spans="1:5">
      <c r="A57"/>
      <c r="B57"/>
      <c r="C57"/>
      <c r="D57"/>
      <c r="E57"/>
    </row>
    <row r="58" spans="1:5">
      <c r="A58"/>
      <c r="B58"/>
      <c r="C58"/>
      <c r="D58"/>
      <c r="E58"/>
    </row>
    <row r="59" spans="1:5">
      <c r="A59"/>
      <c r="B59"/>
      <c r="C59"/>
      <c r="D59"/>
      <c r="E59"/>
    </row>
    <row r="60" spans="1:5">
      <c r="A60"/>
      <c r="B60"/>
      <c r="C60"/>
      <c r="D60"/>
      <c r="E60"/>
    </row>
    <row r="61" spans="1:5">
      <c r="A61"/>
      <c r="B61"/>
      <c r="C61"/>
      <c r="D61"/>
      <c r="E61"/>
    </row>
    <row r="62" spans="1:5">
      <c r="A62"/>
      <c r="B62"/>
      <c r="C62"/>
      <c r="D62"/>
      <c r="E62"/>
    </row>
    <row r="63" spans="1:5">
      <c r="A63"/>
      <c r="B63"/>
      <c r="C63"/>
      <c r="D63"/>
      <c r="E63"/>
    </row>
    <row r="64" spans="1:5">
      <c r="A64"/>
      <c r="B64"/>
      <c r="C64"/>
      <c r="D64"/>
      <c r="E64"/>
    </row>
    <row r="65" spans="1:5">
      <c r="A65"/>
      <c r="B65"/>
      <c r="C65"/>
      <c r="D65"/>
      <c r="E65"/>
    </row>
  </sheetData>
  <mergeCells count="1">
    <mergeCell ref="A10:C10"/>
  </mergeCells>
  <conditionalFormatting sqref="B12:B18">
    <cfRule type="expression" dxfId="5" priority="2">
      <formula>$C12 = "Please enter total meters drilled"</formula>
    </cfRule>
  </conditionalFormatting>
  <dataValidations count="4">
    <dataValidation allowBlank="1" showInputMessage="1" showErrorMessage="1" promptTitle="Manual input required" prompt="Manual input required." sqref="A12:A18 B12:B14 B16:B18" xr:uid="{B7221ED6-1109-4636-B3FD-B5FF086D3D66}"/>
    <dataValidation allowBlank="1" showInputMessage="1" showErrorMessage="1" promptTitle="Automatic Calculation" prompt="Automatic Calculation" sqref="C13:C18" xr:uid="{FB10C152-0BA4-4758-90B1-232F4CD64A84}"/>
    <dataValidation allowBlank="1" showInputMessage="1" showErrorMessage="1" promptTitle="Automatic Calculation" prompt=" " sqref="C12" xr:uid="{976F69E5-14B4-4DBC-A0F2-264CA4A4A7EF}"/>
    <dataValidation allowBlank="1" showInputMessage="1" showErrorMessage="1" promptTitle="Manual input required" prompt=" " sqref="B15" xr:uid="{3A7B3905-A9E6-494A-9DE1-42D3ED597886}"/>
  </dataValidations>
  <pageMargins left="0.75" right="0.75" top="1" bottom="1" header="0.5" footer="0.5"/>
  <pageSetup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50"/>
  </sheetPr>
  <dimension ref="A1:K21"/>
  <sheetViews>
    <sheetView workbookViewId="0">
      <selection sqref="A1:K21"/>
    </sheetView>
  </sheetViews>
  <sheetFormatPr defaultRowHeight="15"/>
  <cols>
    <col min="1" max="1" width="9.28515625" bestFit="1" customWidth="1"/>
    <col min="2" max="2" width="7.85546875" bestFit="1" customWidth="1"/>
    <col min="3" max="3" width="5.42578125" bestFit="1" customWidth="1"/>
    <col min="4" max="4" width="15" bestFit="1" customWidth="1"/>
    <col min="5" max="5" width="17.5703125" bestFit="1" customWidth="1"/>
    <col min="6" max="6" width="15.5703125" bestFit="1" customWidth="1"/>
    <col min="7" max="7" width="21" bestFit="1" customWidth="1"/>
    <col min="8" max="8" width="19.28515625" bestFit="1" customWidth="1"/>
    <col min="9" max="9" width="17.28515625" bestFit="1" customWidth="1"/>
    <col min="10" max="10" width="15.140625" bestFit="1" customWidth="1"/>
    <col min="11" max="11" width="12.85546875" customWidth="1"/>
  </cols>
  <sheetData>
    <row r="1" spans="1:11">
      <c r="A1"/>
      <c r="B1"/>
      <c r="C1"/>
      <c r="D1"/>
      <c r="E1"/>
      <c r="F1"/>
      <c r="G1"/>
      <c r="H1"/>
      <c r="I1"/>
      <c r="J1"/>
      <c r="K1"/>
    </row>
    <row r="2" spans="1:11">
      <c r="A2"/>
      <c r="B2"/>
      <c r="C2"/>
      <c r="D2"/>
      <c r="E2" s="1"/>
      <c r="F2"/>
      <c r="H2"/>
      <c r="I2" s="1"/>
    </row>
    <row r="3" spans="1:11">
      <c r="A3"/>
      <c r="B3"/>
      <c r="C3"/>
      <c r="D3"/>
      <c r="E3" s="1"/>
      <c r="F3"/>
      <c r="H3"/>
      <c r="I3" s="1"/>
    </row>
    <row r="4" spans="1:11">
      <c r="A4"/>
      <c r="B4"/>
      <c r="C4"/>
      <c r="D4"/>
      <c r="E4" s="1"/>
      <c r="F4"/>
      <c r="H4"/>
      <c r="I4" s="1"/>
    </row>
    <row r="5" spans="1:11">
      <c r="A5"/>
      <c r="B5"/>
      <c r="C5"/>
      <c r="D5"/>
      <c r="E5" s="1"/>
      <c r="F5"/>
      <c r="H5"/>
      <c r="I5" s="1"/>
    </row>
    <row r="6" spans="1:11">
      <c r="A6"/>
      <c r="B6"/>
      <c r="C6"/>
      <c r="D6"/>
      <c r="E6" s="1"/>
      <c r="F6"/>
      <c r="H6"/>
      <c r="I6" s="1"/>
    </row>
    <row r="7" spans="1:11">
      <c r="A7"/>
      <c r="B7"/>
      <c r="C7"/>
      <c r="D7"/>
      <c r="E7" s="1"/>
      <c r="F7"/>
      <c r="H7"/>
      <c r="I7" s="1"/>
    </row>
    <row r="8" spans="1:11">
      <c r="A8"/>
      <c r="B8"/>
      <c r="C8"/>
      <c r="D8"/>
      <c r="E8" s="1"/>
      <c r="F8"/>
      <c r="H8"/>
      <c r="I8" s="1"/>
    </row>
    <row r="9" spans="1:11">
      <c r="A9"/>
      <c r="B9"/>
      <c r="C9"/>
      <c r="D9"/>
      <c r="E9" s="1"/>
      <c r="F9"/>
      <c r="H9"/>
      <c r="I9" s="1"/>
    </row>
    <row r="10" spans="1:11">
      <c r="A10"/>
      <c r="B10"/>
      <c r="C10"/>
      <c r="D10"/>
      <c r="E10" s="1"/>
      <c r="F10"/>
      <c r="H10"/>
      <c r="I10" s="1"/>
    </row>
    <row r="11" spans="1:11">
      <c r="A11"/>
      <c r="B11"/>
      <c r="C11"/>
      <c r="D11"/>
      <c r="E11" s="1"/>
      <c r="F11"/>
      <c r="H11"/>
      <c r="I11" s="1"/>
    </row>
    <row r="12" spans="1:11">
      <c r="A12"/>
      <c r="B12"/>
      <c r="C12"/>
      <c r="D12"/>
      <c r="E12" s="1"/>
      <c r="F12"/>
      <c r="H12"/>
      <c r="I12" s="1"/>
    </row>
    <row r="13" spans="1:11">
      <c r="A13"/>
      <c r="B13"/>
      <c r="C13"/>
      <c r="D13"/>
      <c r="E13" s="1"/>
      <c r="F13"/>
      <c r="H13"/>
      <c r="I13" s="1"/>
    </row>
    <row r="14" spans="1:11">
      <c r="A14"/>
      <c r="B14"/>
      <c r="C14"/>
      <c r="D14"/>
      <c r="E14" s="1"/>
      <c r="F14"/>
      <c r="H14"/>
      <c r="I14" s="1"/>
    </row>
    <row r="15" spans="1:11">
      <c r="A15"/>
      <c r="B15"/>
      <c r="C15"/>
      <c r="D15"/>
      <c r="E15" s="1"/>
      <c r="F15"/>
      <c r="H15"/>
      <c r="I15" s="1"/>
    </row>
    <row r="16" spans="1:11">
      <c r="A16"/>
      <c r="B16"/>
      <c r="C16"/>
      <c r="D16"/>
      <c r="E16" s="1"/>
      <c r="F16"/>
      <c r="H16"/>
      <c r="I16" s="1"/>
    </row>
    <row r="17" spans="1:9">
      <c r="A17"/>
      <c r="B17"/>
      <c r="C17"/>
      <c r="D17"/>
      <c r="E17" s="1"/>
      <c r="F17"/>
      <c r="H17"/>
      <c r="I17" s="1"/>
    </row>
    <row r="18" spans="1:9">
      <c r="A18"/>
      <c r="B18"/>
      <c r="C18"/>
      <c r="D18"/>
      <c r="E18" s="1"/>
      <c r="F18"/>
      <c r="H18"/>
      <c r="I18" s="1"/>
    </row>
    <row r="19" spans="1:9">
      <c r="A19"/>
      <c r="B19"/>
      <c r="C19"/>
      <c r="D19"/>
      <c r="E19" s="1"/>
      <c r="F19"/>
      <c r="H19"/>
      <c r="I19" s="1"/>
    </row>
    <row r="20" spans="1:9">
      <c r="A20"/>
      <c r="B20"/>
      <c r="C20"/>
      <c r="D20"/>
      <c r="E20" s="1"/>
      <c r="F20"/>
      <c r="H20"/>
      <c r="I20" s="1"/>
    </row>
    <row r="21" spans="1:9">
      <c r="A21"/>
      <c r="B21"/>
      <c r="C21"/>
      <c r="D21"/>
      <c r="E21" s="1"/>
      <c r="F21"/>
      <c r="H21"/>
      <c r="I21" s="1"/>
    </row>
  </sheetData>
  <phoneticPr fontId="6" type="noConversion"/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S3"/>
  <sheetViews>
    <sheetView workbookViewId="0">
      <selection activeCell="S3" sqref="S3"/>
    </sheetView>
  </sheetViews>
  <sheetFormatPr defaultRowHeight="15"/>
  <cols>
    <col min="1" max="1" width="9.28515625" bestFit="1" customWidth="1"/>
    <col min="2" max="2" width="14.28515625" bestFit="1" customWidth="1"/>
    <col min="3" max="3" width="11.85546875" bestFit="1" customWidth="1"/>
    <col min="4" max="4" width="19.85546875" bestFit="1" customWidth="1"/>
    <col min="5" max="5" width="12.85546875" bestFit="1" customWidth="1"/>
    <col min="6" max="6" width="16" bestFit="1" customWidth="1"/>
    <col min="7" max="7" width="25" bestFit="1" customWidth="1"/>
    <col min="8" max="8" width="26.28515625" bestFit="1" customWidth="1"/>
    <col min="9" max="9" width="24.140625" bestFit="1" customWidth="1"/>
    <col min="10" max="10" width="25.42578125" bestFit="1" customWidth="1"/>
    <col min="11" max="11" width="15.140625" bestFit="1" customWidth="1"/>
    <col min="12" max="12" width="34.140625" bestFit="1" customWidth="1"/>
    <col min="13" max="13" width="17" bestFit="1" customWidth="1"/>
    <col min="14" max="14" width="19.140625" bestFit="1" customWidth="1"/>
    <col min="15" max="15" width="16.5703125" bestFit="1" customWidth="1"/>
    <col min="16" max="16" width="22.140625" bestFit="1" customWidth="1"/>
    <col min="17" max="17" width="52.42578125" bestFit="1" customWidth="1"/>
    <col min="18" max="18" width="20.28515625" bestFit="1" customWidth="1"/>
    <col min="19" max="19" width="28.140625" bestFit="1" customWidth="1"/>
  </cols>
  <sheetData>
    <row r="1" spans="1:19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1:19">
      <c r="A2"/>
      <c r="B2"/>
      <c r="C2"/>
      <c r="D2"/>
      <c r="E2"/>
      <c r="F2"/>
      <c r="G2" s="1"/>
      <c r="H2"/>
      <c r="I2" s="1"/>
      <c r="K2"/>
      <c r="M2"/>
      <c r="N2"/>
      <c r="O2"/>
      <c r="P2"/>
      <c r="Q2" s="18"/>
      <c r="R2" s="18"/>
      <c r="S2" s="18"/>
    </row>
    <row r="3" spans="1:19">
      <c r="A3"/>
      <c r="B3"/>
      <c r="C3"/>
      <c r="D3"/>
      <c r="E3"/>
      <c r="F3"/>
      <c r="G3" s="1"/>
      <c r="H3"/>
      <c r="I3" s="1"/>
      <c r="K3"/>
      <c r="L3"/>
      <c r="M3"/>
      <c r="N3"/>
      <c r="O3"/>
      <c r="P3"/>
      <c r="Q3" s="18"/>
      <c r="R3" s="18"/>
      <c r="S3" s="18"/>
    </row>
  </sheetData>
  <phoneticPr fontId="6" type="noConversion"/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B050"/>
  </sheetPr>
  <dimension ref="A1:O68"/>
  <sheetViews>
    <sheetView tabSelected="1" zoomScaleNormal="100" workbookViewId="0">
      <selection sqref="A1:O2"/>
    </sheetView>
  </sheetViews>
  <sheetFormatPr defaultRowHeight="15"/>
  <cols>
    <col min="1" max="1" width="9.28515625" bestFit="1" customWidth="1"/>
    <col min="2" max="2" width="7.85546875" bestFit="1" customWidth="1"/>
    <col min="3" max="3" width="5.42578125" bestFit="1" customWidth="1"/>
    <col min="4" max="4" width="15.42578125" bestFit="1" customWidth="1"/>
    <col min="5" max="5" width="21.42578125" bestFit="1" customWidth="1"/>
    <col min="6" max="6" width="15" bestFit="1" customWidth="1"/>
    <col min="7" max="7" width="18.28515625" bestFit="1" customWidth="1"/>
    <col min="8" max="8" width="12.85546875" bestFit="1" customWidth="1"/>
    <col min="9" max="9" width="11.140625" bestFit="1" customWidth="1"/>
    <col min="10" max="10" width="7.140625" bestFit="1" customWidth="1"/>
    <col min="11" max="11" width="6.7109375" bestFit="1" customWidth="1"/>
    <col min="12" max="12" width="12.42578125" bestFit="1" customWidth="1"/>
    <col min="13" max="13" width="11" bestFit="1" customWidth="1"/>
    <col min="14" max="14" width="9.42578125" bestFit="1" customWidth="1"/>
    <col min="15" max="15" width="6.7109375" bestFit="1" customWidth="1"/>
    <col min="16" max="16" width="11" bestFit="1" customWidth="1"/>
    <col min="17" max="17" width="17.7109375" bestFit="1" customWidth="1"/>
    <col min="18" max="18" width="14.42578125" bestFit="1" customWidth="1"/>
    <col min="19" max="19" width="9.42578125" bestFit="1" customWidth="1"/>
    <col min="20" max="20" width="14.5703125" customWidth="1"/>
    <col min="21" max="21" width="10.42578125" bestFit="1" customWidth="1"/>
    <col min="22" max="22" width="6.7109375" bestFit="1" customWidth="1"/>
  </cols>
  <sheetData>
    <row r="1" spans="1:15">
      <c r="A1"/>
      <c r="B1"/>
      <c r="C1"/>
      <c r="D1"/>
      <c r="E1"/>
      <c r="F1"/>
      <c r="G1"/>
      <c r="H1"/>
      <c r="I1"/>
      <c r="J1"/>
      <c r="K1"/>
      <c r="L1"/>
      <c r="M1"/>
      <c r="N1"/>
      <c r="O1" t="s">
        <v>3</v>
      </c>
    </row>
    <row r="2" spans="1:15">
      <c r="E2" s="1"/>
      <c r="F2" s="1"/>
    </row>
    <row r="17" spans="6:7">
      <c r="F17" s="2"/>
    </row>
    <row r="18" spans="6:7">
      <c r="F18" s="2"/>
    </row>
    <row r="19" spans="6:7">
      <c r="F19" s="2"/>
    </row>
    <row r="20" spans="6:7">
      <c r="F20" s="2"/>
    </row>
    <row r="21" spans="6:7">
      <c r="F21" s="2"/>
    </row>
    <row r="22" spans="6:7">
      <c r="F22" s="2"/>
    </row>
    <row r="23" spans="6:7">
      <c r="F23" s="2"/>
    </row>
    <row r="24" spans="6:7">
      <c r="F24" s="2"/>
    </row>
    <row r="25" spans="6:7">
      <c r="F25" s="2"/>
    </row>
    <row r="26" spans="6:7">
      <c r="F26" s="2"/>
    </row>
    <row r="29" spans="6:7">
      <c r="F29" s="2"/>
    </row>
    <row r="30" spans="6:7">
      <c r="F30" s="2"/>
      <c r="G30" s="3"/>
    </row>
    <row r="31" spans="6:7">
      <c r="F31" s="4"/>
    </row>
    <row r="32" spans="6:7">
      <c r="F32" s="5"/>
      <c r="G32" s="5"/>
    </row>
    <row r="35" spans="6:6">
      <c r="F35" s="3"/>
    </row>
    <row r="36" spans="6:6">
      <c r="F36" s="2"/>
    </row>
    <row r="67" spans="7:8">
      <c r="G67" s="7"/>
    </row>
    <row r="68" spans="7:8">
      <c r="H68" s="6"/>
    </row>
  </sheetData>
  <phoneticPr fontId="6" type="noConversion"/>
  <pageMargins left="0.75" right="0.75" top="1" bottom="1" header="0.5" footer="0.5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CE6D716A9231499BFD8A944E5F8E40" ma:contentTypeVersion="25" ma:contentTypeDescription="Create a new document." ma:contentTypeScope="" ma:versionID="b03d89564b7d9055ffff2bc638373428">
  <xsd:schema xmlns:xsd="http://www.w3.org/2001/XMLSchema" xmlns:xs="http://www.w3.org/2001/XMLSchema" xmlns:p="http://schemas.microsoft.com/office/2006/metadata/properties" xmlns:ns1="http://schemas.microsoft.com/sharepoint/v3" xmlns:ns2="daf547f1-77dc-41d7-9d2c-245079868ee7" xmlns:ns3="820a6254-168a-40f4-8ec8-9ea7b4efc694" xmlns:ns4="73bb6e4b-bc52-4b16-bdc4-3b6fa17e57b1" xmlns:ns5="http://schemas.microsoft.com/sharepoint/v4" targetNamespace="http://schemas.microsoft.com/office/2006/metadata/properties" ma:root="true" ma:fieldsID="26c2661ef5d0f0c6e849629d497256a2" ns1:_="" ns2:_="" ns3:_="" ns4:_="" ns5:_="">
    <xsd:import namespace="http://schemas.microsoft.com/sharepoint/v3"/>
    <xsd:import namespace="daf547f1-77dc-41d7-9d2c-245079868ee7"/>
    <xsd:import namespace="820a6254-168a-40f4-8ec8-9ea7b4efc694"/>
    <xsd:import namespace="73bb6e4b-bc52-4b16-bdc4-3b6fa17e57b1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4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Info" minOccurs="0"/>
                <xsd:element ref="ns2:MediaServiceObjectDetectorVersions" minOccurs="0"/>
                <xsd:element ref="ns2:MediaServiceSearchProperties" minOccurs="0"/>
                <xsd:element ref="ns2:MediaLengthInSeconds" minOccurs="0"/>
                <xsd:element ref="ns2:ArchiverLinkFileType" minOccurs="0"/>
                <xsd:element ref="ns5:IconOverlay" minOccurs="0"/>
                <xsd:element ref="ns1:_vti_ItemDeclaredRecord" minOccurs="0"/>
                <xsd:element ref="ns1:_vti_ItemHoldRecordStatu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vti_ItemDeclaredRecord" ma:index="28" nillable="true" ma:displayName="Declared Record" ma:hidden="true" ma:internalName="_vti_ItemDeclaredRecord" ma:readOnly="true">
      <xsd:simpleType>
        <xsd:restriction base="dms:DateTime"/>
      </xsd:simpleType>
    </xsd:element>
    <xsd:element name="_vti_ItemHoldRecordStatus" ma:index="29" nillable="true" ma:displayName="Hold and Record Status" ma:decimals="0" ma:hidden="true" ma:internalName="_vti_ItemHoldRecordStatu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f547f1-77dc-41d7-9d2c-245079868ee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b60e4bea-e818-4595-a733-0a06d4f156d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Info" ma:index="22" nillable="true" ma:displayName="Info" ma:format="Dropdown" ma:internalName="Info">
      <xsd:simpleType>
        <xsd:restriction base="dms:Text">
          <xsd:maxLength value="255"/>
        </xsd:restriction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  <xsd:element name="ArchiverLinkFileType" ma:index="26" nillable="true" ma:displayName="ArchiverLinkFileType" ma:hidden="true" ma:internalName="ArchiverLinkFileType">
      <xsd:simpleType>
        <xsd:restriction base="dms:Text"/>
      </xsd:simpleType>
    </xsd:element>
    <xsd:element name="MediaServiceBillingMetadata" ma:index="3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0a6254-168a-40f4-8ec8-9ea7b4efc69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bb6e4b-bc52-4b16-bdc4-3b6fa17e57b1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6e9ea037-fbcf-4e3f-a3e3-9b92be27b7bd}" ma:internalName="TaxCatchAll" ma:showField="CatchAllData" ma:web="820a6254-168a-40f4-8ec8-9ea7b4efc69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7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TaxCatchAll xmlns="73bb6e4b-bc52-4b16-bdc4-3b6fa17e57b1" xsi:nil="true"/>
    <lcf76f155ced4ddcb4097134ff3c332f xmlns="daf547f1-77dc-41d7-9d2c-245079868ee7">
      <Terms xmlns="http://schemas.microsoft.com/office/infopath/2007/PartnerControls"/>
    </lcf76f155ced4ddcb4097134ff3c332f>
    <ArchiverLinkFileType xmlns="daf547f1-77dc-41d7-9d2c-245079868ee7" xsi:nil="true"/>
    <Info xmlns="daf547f1-77dc-41d7-9d2c-245079868ee7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DF35FC73-AC7B-4C47-9710-3F75843FCE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af547f1-77dc-41d7-9d2c-245079868ee7"/>
    <ds:schemaRef ds:uri="820a6254-168a-40f4-8ec8-9ea7b4efc694"/>
    <ds:schemaRef ds:uri="73bb6e4b-bc52-4b16-bdc4-3b6fa17e57b1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B547839-1D1F-42BD-988F-F24401168DB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8E3D4C2-2645-452C-97F0-9E1F7A0A43FE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73bb6e4b-bc52-4b16-bdc4-3b6fa17e57b1"/>
    <ds:schemaRef ds:uri="daf547f1-77dc-41d7-9d2c-245079868ee7"/>
  </ds:schemaRefs>
</ds:datastoreItem>
</file>

<file path=customXml/itemProps4.xml><?xml version="1.0" encoding="utf-8"?>
<ds:datastoreItem xmlns:ds="http://schemas.openxmlformats.org/officeDocument/2006/customXml" ds:itemID="{12229006-A542-472A-BD2C-AE0CAD3914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compartment_reviews</vt:lpstr>
      <vt:lpstr>Instructions</vt:lpstr>
      <vt:lpstr>Compartment Register</vt:lpstr>
      <vt:lpstr>Original Images Register</vt:lpstr>
      <vt:lpstr>Compartment Reviews</vt:lpstr>
      <vt:lpstr>RegisterFolder</vt:lpstr>
      <vt:lpstr>ThisWorkbookPath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Symonds</dc:creator>
  <cp:lastModifiedBy>George Symonds</cp:lastModifiedBy>
  <dcterms:created xsi:type="dcterms:W3CDTF">2025-06-08T16:33:47Z</dcterms:created>
  <dcterms:modified xsi:type="dcterms:W3CDTF">2025-06-22T17:28:24Z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0x01010092CE6D716A9231499BFD8A944E5F8E40</vt:lpwstr>
  </property>
  <property fmtid="{D5CDD505-2E9C-101B-9397-08002B2CF9AE}" pid="3" name="MediaServiceImageTags">
    <vt:lpwstr/>
  </property>
</Properties>
</file>